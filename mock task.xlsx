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\EXCEL\DAY-1\exel\"/>
    </mc:Choice>
  </mc:AlternateContent>
  <xr:revisionPtr revIDLastSave="0" documentId="8_{C5A8E38E-62AC-4EB8-861B-43920C114081}" xr6:coauthVersionLast="47" xr6:coauthVersionMax="47" xr10:uidLastSave="{00000000-0000-0000-0000-000000000000}"/>
  <bookViews>
    <workbookView xWindow="-96" yWindow="0" windowWidth="11712" windowHeight="12336" firstSheet="1" activeTab="2" xr2:uid="{00000000-000D-0000-FFFF-FFFF00000000}"/>
  </bookViews>
  <sheets>
    <sheet name="Sales_Data" sheetId="1" r:id="rId1"/>
    <sheet name="Product_Master" sheetId="2" r:id="rId2"/>
    <sheet name="Monthly Targ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3" l="1"/>
  <c r="E9" i="3"/>
  <c r="E10" i="3"/>
  <c r="E7" i="3"/>
  <c r="E10" i="2"/>
  <c r="F10" i="2" s="1"/>
  <c r="D8" i="3"/>
  <c r="D9" i="3"/>
  <c r="D10" i="3"/>
  <c r="D7" i="3"/>
  <c r="C8" i="3"/>
  <c r="C9" i="3"/>
  <c r="C10" i="3"/>
  <c r="C7" i="3"/>
  <c r="E11" i="2"/>
  <c r="F11" i="2" s="1"/>
  <c r="E12" i="2"/>
  <c r="F12" i="2" s="1"/>
  <c r="E13" i="2"/>
  <c r="F13" i="2" s="1"/>
  <c r="E14" i="2"/>
  <c r="F14" i="2" s="1"/>
  <c r="E17" i="1"/>
  <c r="E18" i="1"/>
  <c r="E19" i="1"/>
  <c r="E20" i="1"/>
  <c r="E16" i="1"/>
  <c r="D11" i="2"/>
  <c r="D12" i="2"/>
  <c r="D13" i="2"/>
  <c r="D14" i="2"/>
  <c r="D10" i="2"/>
  <c r="C10" i="2"/>
  <c r="C11" i="2"/>
  <c r="C12" i="2"/>
  <c r="C13" i="2"/>
  <c r="C14" i="2"/>
  <c r="F15" i="2" l="1"/>
</calcChain>
</file>

<file path=xl/sharedStrings.xml><?xml version="1.0" encoding="utf-8"?>
<sst xmlns="http://schemas.openxmlformats.org/spreadsheetml/2006/main" count="91" uniqueCount="52">
  <si>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</si>
  <si>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</si>
  <si>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</si>
  <si>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</si>
  <si>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</si>
  <si>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</si>
  <si>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</si>
  <si>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</si>
  <si>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</si>
  <si>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</si>
  <si>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</si>
  <si>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</si>
  <si>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</si>
  <si>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</si>
  <si>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</si>
  <si>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</si>
  <si>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</si>
  <si>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</si>
  <si>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</si>
  <si>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</si>
  <si>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</si>
  <si>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</si>
  <si>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</si>
  <si>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</si>
  <si>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</si>
  <si>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</si>
  <si>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</si>
  <si>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</si>
  <si>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</si>
  <si>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</si>
  <si>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</si>
  <si>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</si>
  <si>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</si>
  <si>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</si>
  <si>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</si>
  <si>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</si>
  <si>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</si>
  <si>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</si>
  <si>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</si>
  <si>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</si>
  <si>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</si>
  <si>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</si>
  <si>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</si>
  <si>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</si>
  <si>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</si>
  <si>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</si>
  <si>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Target Sales</t>
  </si>
  <si>
    <t>Total Sales Value</t>
  </si>
  <si>
    <t>unit sold</t>
  </si>
  <si>
    <t>Total  =</t>
  </si>
  <si>
    <t>Actual sales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</si>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</sst>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workbookViewId="0">
      <selection activeCell="C24" sqref="C23:C24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15</v>
      </c>
      <c r="F2" s="2">
        <v>45000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20</v>
      </c>
      <c r="F3" s="2">
        <v>60000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>
        <v>10</v>
      </c>
      <c r="F4" s="2">
        <v>35000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21</v>
      </c>
      <c r="E5" s="2">
        <v>25</v>
      </c>
      <c r="F5" s="2">
        <v>125000</v>
      </c>
    </row>
    <row r="6" spans="1:6" x14ac:dyDescent="0.25">
      <c r="A6" s="2" t="s">
        <v>22</v>
      </c>
      <c r="B6" s="2" t="s">
        <v>23</v>
      </c>
      <c r="C6" s="2" t="s">
        <v>8</v>
      </c>
      <c r="D6" s="2" t="s">
        <v>24</v>
      </c>
      <c r="E6" s="2">
        <v>12</v>
      </c>
      <c r="F6" s="2">
        <v>48000</v>
      </c>
    </row>
    <row r="7" spans="1:6" x14ac:dyDescent="0.25">
      <c r="A7" s="2" t="s">
        <v>25</v>
      </c>
      <c r="B7" s="2" t="s">
        <v>26</v>
      </c>
      <c r="C7" s="2" t="s">
        <v>16</v>
      </c>
      <c r="D7" s="2" t="s">
        <v>13</v>
      </c>
      <c r="E7" s="2">
        <v>18</v>
      </c>
      <c r="F7" s="2">
        <v>54000</v>
      </c>
    </row>
    <row r="8" spans="1:6" x14ac:dyDescent="0.25">
      <c r="A8" s="2" t="s">
        <v>27</v>
      </c>
      <c r="B8" s="2" t="s">
        <v>28</v>
      </c>
      <c r="C8" s="2" t="s">
        <v>12</v>
      </c>
      <c r="D8" s="2" t="s">
        <v>17</v>
      </c>
      <c r="E8" s="2">
        <v>22</v>
      </c>
      <c r="F8" s="2">
        <v>77000</v>
      </c>
    </row>
    <row r="9" spans="1:6" x14ac:dyDescent="0.25">
      <c r="A9" s="2" t="s">
        <v>29</v>
      </c>
      <c r="B9" s="2" t="s">
        <v>30</v>
      </c>
      <c r="C9" s="2" t="s">
        <v>20</v>
      </c>
      <c r="D9" s="2" t="s">
        <v>9</v>
      </c>
      <c r="E9" s="2">
        <v>30</v>
      </c>
      <c r="F9" s="2">
        <v>90000</v>
      </c>
    </row>
    <row r="10" spans="1:6" x14ac:dyDescent="0.25">
      <c r="A10" s="2" t="s">
        <v>31</v>
      </c>
      <c r="B10" s="2" t="s">
        <v>32</v>
      </c>
      <c r="C10" s="2" t="s">
        <v>8</v>
      </c>
      <c r="D10" s="2" t="s">
        <v>21</v>
      </c>
      <c r="E10" s="2">
        <v>14</v>
      </c>
      <c r="F10" s="2">
        <v>70000</v>
      </c>
    </row>
    <row r="11" spans="1:6" x14ac:dyDescent="0.25">
      <c r="A11" s="2" t="s">
        <v>33</v>
      </c>
      <c r="B11" s="2" t="s">
        <v>34</v>
      </c>
      <c r="C11" s="2" t="s">
        <v>16</v>
      </c>
      <c r="D11" s="2" t="s">
        <v>24</v>
      </c>
      <c r="E11" s="2">
        <v>8</v>
      </c>
      <c r="F11" s="2">
        <v>32000</v>
      </c>
    </row>
    <row r="15" spans="1:6" ht="15.75" customHeight="1" x14ac:dyDescent="0.25">
      <c r="D15" s="1" t="s">
        <v>3</v>
      </c>
      <c r="E15" s="1" t="s">
        <v>4</v>
      </c>
    </row>
    <row r="16" spans="1:6" ht="15.75" customHeight="1" x14ac:dyDescent="0.25">
      <c r="D16" s="2" t="s">
        <v>9</v>
      </c>
      <c r="E16">
        <f ca="1">SUMIF(D2:E11,D16,E2:E11)</f>
        <v>45</v>
      </c>
    </row>
    <row r="17" spans="4:5" ht="15.75" customHeight="1" x14ac:dyDescent="0.25">
      <c r="D17" s="2" t="s">
        <v>13</v>
      </c>
      <c r="E17">
        <f t="shared" ref="E17:E20" ca="1" si="0">SUMIF(D3:E12,D17,E3:E12)</f>
        <v>38</v>
      </c>
    </row>
    <row r="18" spans="4:5" ht="15.75" customHeight="1" x14ac:dyDescent="0.25">
      <c r="D18" s="2" t="s">
        <v>17</v>
      </c>
      <c r="E18">
        <f t="shared" ca="1" si="0"/>
        <v>32</v>
      </c>
    </row>
    <row r="19" spans="4:5" ht="15.75" customHeight="1" x14ac:dyDescent="0.25">
      <c r="D19" s="2" t="s">
        <v>21</v>
      </c>
      <c r="E19">
        <f t="shared" ca="1" si="0"/>
        <v>39</v>
      </c>
    </row>
    <row r="20" spans="4:5" ht="15.75" customHeight="1" x14ac:dyDescent="0.25">
      <c r="D20" s="2" t="s">
        <v>24</v>
      </c>
      <c r="E20">
        <f t="shared" ca="1" si="0"/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5"/>
  <sheetViews>
    <sheetView workbookViewId="0">
      <selection activeCell="E11" sqref="E11"/>
    </sheetView>
  </sheetViews>
  <sheetFormatPr defaultColWidth="12.6640625" defaultRowHeight="15.75" customHeight="1" x14ac:dyDescent="0.25"/>
  <cols>
    <col min="3" max="3" width="15" bestFit="1" customWidth="1"/>
  </cols>
  <sheetData>
    <row r="1" spans="1:6" x14ac:dyDescent="0.25">
      <c r="A1" s="1" t="s">
        <v>3</v>
      </c>
      <c r="B1" s="1" t="s">
        <v>35</v>
      </c>
      <c r="C1" s="1" t="s">
        <v>36</v>
      </c>
      <c r="D1" s="1" t="s">
        <v>37</v>
      </c>
    </row>
    <row r="2" spans="1:6" x14ac:dyDescent="0.25">
      <c r="A2" s="2" t="s">
        <v>9</v>
      </c>
      <c r="B2" s="2" t="s">
        <v>38</v>
      </c>
      <c r="C2" s="2" t="s">
        <v>39</v>
      </c>
      <c r="D2" s="2">
        <v>3000</v>
      </c>
    </row>
    <row r="3" spans="1:6" x14ac:dyDescent="0.25">
      <c r="A3" s="2" t="s">
        <v>13</v>
      </c>
      <c r="B3" s="2" t="s">
        <v>40</v>
      </c>
      <c r="C3" s="2" t="s">
        <v>39</v>
      </c>
      <c r="D3" s="2">
        <v>3000</v>
      </c>
    </row>
    <row r="4" spans="1:6" x14ac:dyDescent="0.25">
      <c r="A4" s="2" t="s">
        <v>17</v>
      </c>
      <c r="B4" s="2" t="s">
        <v>41</v>
      </c>
      <c r="C4" s="2" t="s">
        <v>42</v>
      </c>
      <c r="D4" s="2">
        <v>3500</v>
      </c>
    </row>
    <row r="5" spans="1:6" x14ac:dyDescent="0.25">
      <c r="A5" s="2" t="s">
        <v>21</v>
      </c>
      <c r="B5" s="2" t="s">
        <v>43</v>
      </c>
      <c r="C5" s="2" t="s">
        <v>44</v>
      </c>
      <c r="D5" s="2">
        <v>5000</v>
      </c>
    </row>
    <row r="6" spans="1:6" x14ac:dyDescent="0.25">
      <c r="A6" s="2" t="s">
        <v>24</v>
      </c>
      <c r="B6" s="2" t="s">
        <v>45</v>
      </c>
      <c r="C6" s="2" t="s">
        <v>39</v>
      </c>
      <c r="D6" s="2">
        <v>4000</v>
      </c>
    </row>
    <row r="9" spans="1:6" ht="15.75" customHeight="1" x14ac:dyDescent="0.25">
      <c r="C9" s="1" t="s">
        <v>35</v>
      </c>
      <c r="D9" s="1" t="s">
        <v>37</v>
      </c>
      <c r="E9" s="3" t="s">
        <v>48</v>
      </c>
      <c r="F9" s="3" t="s">
        <v>47</v>
      </c>
    </row>
    <row r="10" spans="1:6" ht="15.75" customHeight="1" x14ac:dyDescent="0.25">
      <c r="B10" s="1"/>
      <c r="C10" t="str">
        <f>VLOOKUP(A2,A1:D6,2,FALSE)</f>
        <v>Laptop</v>
      </c>
      <c r="D10">
        <f>VLOOKUP(A2,A1:D6,4,FALSE)</f>
        <v>3000</v>
      </c>
      <c r="E10">
        <f ca="1">SUMIF(Sales_Data!D1:E11,Product_Master!A2,Sales_Data!E1:E11)</f>
        <v>45</v>
      </c>
      <c r="F10">
        <f ca="1">(D10*E10)</f>
        <v>135000</v>
      </c>
    </row>
    <row r="11" spans="1:6" ht="15.75" customHeight="1" x14ac:dyDescent="0.25">
      <c r="C11" t="str">
        <f t="shared" ref="C11:C15" si="0">VLOOKUP(A3,A2:D7,2,FALSE)</f>
        <v>Smartphone</v>
      </c>
      <c r="D11">
        <f t="shared" ref="D11:D14" si="1">VLOOKUP(A3,A2:D7,4,FALSE)</f>
        <v>3000</v>
      </c>
      <c r="E11">
        <f ca="1">SUMIF(Sales_Data!D2:E12,Product_Master!A3,Sales_Data!E2:E12)</f>
        <v>38</v>
      </c>
      <c r="F11">
        <f t="shared" ref="F11:F14" ca="1" si="2">(D11*E11)</f>
        <v>114000</v>
      </c>
    </row>
    <row r="12" spans="1:6" ht="15.75" customHeight="1" x14ac:dyDescent="0.25">
      <c r="C12" t="str">
        <f t="shared" si="0"/>
        <v>Headphones</v>
      </c>
      <c r="D12">
        <f t="shared" si="1"/>
        <v>3500</v>
      </c>
      <c r="E12">
        <f ca="1">SUMIF(Sales_Data!D3:E13,Product_Master!A4,Sales_Data!E3:E13)</f>
        <v>32</v>
      </c>
      <c r="F12">
        <f t="shared" ca="1" si="2"/>
        <v>112000</v>
      </c>
    </row>
    <row r="13" spans="1:6" ht="15.75" customHeight="1" x14ac:dyDescent="0.25">
      <c r="C13" t="str">
        <f t="shared" si="0"/>
        <v>Printer</v>
      </c>
      <c r="D13">
        <f t="shared" si="1"/>
        <v>5000</v>
      </c>
      <c r="E13">
        <f ca="1">SUMIF(Sales_Data!D4:E14,Product_Master!A5,Sales_Data!E4:E14)</f>
        <v>39</v>
      </c>
      <c r="F13">
        <f t="shared" ca="1" si="2"/>
        <v>195000</v>
      </c>
    </row>
    <row r="14" spans="1:6" ht="15.75" customHeight="1" x14ac:dyDescent="0.25">
      <c r="C14" t="str">
        <f t="shared" si="0"/>
        <v>Monitor</v>
      </c>
      <c r="D14">
        <f t="shared" si="1"/>
        <v>4000</v>
      </c>
      <c r="E14">
        <f ca="1">SUMIF(Sales_Data!D5:E15,Product_Master!A6,Sales_Data!E5:E15)</f>
        <v>20</v>
      </c>
      <c r="F14">
        <f t="shared" ca="1" si="2"/>
        <v>80000</v>
      </c>
    </row>
    <row r="15" spans="1:6" ht="15.75" customHeight="1" x14ac:dyDescent="0.25">
      <c r="E15" s="3" t="s">
        <v>49</v>
      </c>
      <c r="F15" s="3">
        <f ca="1">SUM(F10:F14)</f>
        <v>636000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"/>
  <sheetViews>
    <sheetView tabSelected="1" topLeftCell="A3" workbookViewId="0">
      <selection activeCell="E7" sqref="E7"/>
    </sheetView>
  </sheetViews>
  <sheetFormatPr defaultColWidth="12.6640625" defaultRowHeight="15.75" customHeight="1" x14ac:dyDescent="0.25"/>
  <cols>
    <col min="3" max="3" width="11.88671875" bestFit="1" customWidth="1"/>
    <col min="4" max="4" width="13.6640625" bestFit="1" customWidth="1"/>
  </cols>
  <sheetData>
    <row r="1" spans="1:6" x14ac:dyDescent="0.25">
      <c r="A1" s="1" t="s">
        <v>2</v>
      </c>
      <c r="B1" s="1" t="s">
        <v>8</v>
      </c>
      <c r="C1" s="1" t="s">
        <v>12</v>
      </c>
      <c r="D1" s="1" t="s">
        <v>16</v>
      </c>
      <c r="E1" s="1" t="s">
        <v>20</v>
      </c>
    </row>
    <row r="2" spans="1:6" x14ac:dyDescent="0.25">
      <c r="A2" s="2" t="s">
        <v>46</v>
      </c>
      <c r="B2" s="2">
        <v>150000</v>
      </c>
      <c r="C2" s="2">
        <v>140000</v>
      </c>
      <c r="D2" s="2">
        <v>120000</v>
      </c>
      <c r="E2" s="2">
        <v>160000</v>
      </c>
    </row>
    <row r="6" spans="1:6" ht="15.75" customHeight="1" x14ac:dyDescent="0.25">
      <c r="B6" s="1" t="s">
        <v>2</v>
      </c>
      <c r="C6" s="4" t="s">
        <v>46</v>
      </c>
      <c r="D6" s="4" t="s">
        <v>50</v>
      </c>
      <c r="E6" s="4" t="s">
        <v>51</v>
      </c>
      <c r="F6" s="1"/>
    </row>
    <row r="7" spans="1:6" ht="15.75" customHeight="1" x14ac:dyDescent="0.25">
      <c r="B7" s="1" t="s">
        <v>8</v>
      </c>
      <c r="C7">
        <f>HLOOKUP(B7,A$1:E$2,2,FALSE)</f>
        <v>150000</v>
      </c>
      <c r="D7">
        <f>SUMIF(Sales_Data!C2:C11,'Monthly Target'!B7,Sales_Data!F2:F11)</f>
        <v>163000</v>
      </c>
      <c r="E7">
        <f>D7-C7</f>
        <v>13000</v>
      </c>
    </row>
    <row r="8" spans="1:6" ht="15.75" customHeight="1" x14ac:dyDescent="0.25">
      <c r="B8" s="1" t="s">
        <v>12</v>
      </c>
      <c r="C8">
        <f t="shared" ref="C8:C10" si="0">HLOOKUP(B8,A$1:E$2,2,FALSE)</f>
        <v>140000</v>
      </c>
      <c r="D8">
        <f>SUMIF(Sales_Data!C3:C12,'Monthly Target'!B8,Sales_Data!F3:F12)</f>
        <v>137000</v>
      </c>
      <c r="E8">
        <f>D8-C8</f>
        <v>-3000</v>
      </c>
    </row>
    <row r="9" spans="1:6" ht="15.75" customHeight="1" x14ac:dyDescent="0.25">
      <c r="B9" s="1" t="s">
        <v>16</v>
      </c>
      <c r="C9">
        <f t="shared" si="0"/>
        <v>120000</v>
      </c>
      <c r="D9">
        <f>SUMIF(Sales_Data!C4:C13,'Monthly Target'!B9,Sales_Data!F4:F13)</f>
        <v>121000</v>
      </c>
      <c r="E9">
        <f t="shared" ref="E8:E10" si="1">D9-C9</f>
        <v>1000</v>
      </c>
    </row>
    <row r="10" spans="1:6" ht="15.75" customHeight="1" x14ac:dyDescent="0.25">
      <c r="B10" s="4" t="s">
        <v>20</v>
      </c>
      <c r="C10">
        <f t="shared" si="0"/>
        <v>160000</v>
      </c>
      <c r="D10">
        <f>SUMIF(Sales_Data!C5:C14,'Monthly Target'!B10,Sales_Data!F5:F14)</f>
        <v>215000</v>
      </c>
      <c r="E10">
        <f t="shared" si="1"/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Monthly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mansi burile</cp:lastModifiedBy>
  <dcterms:created xsi:type="dcterms:W3CDTF">2025-11-01T07:22:31Z</dcterms:created>
  <dcterms:modified xsi:type="dcterms:W3CDTF">2025-11-01T07:22:31Z</dcterms:modified>
</cp:coreProperties>
</file>